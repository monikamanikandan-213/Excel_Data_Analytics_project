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E65C7F760667B/Documents/"/>
    </mc:Choice>
  </mc:AlternateContent>
  <xr:revisionPtr revIDLastSave="398" documentId="8_{5E5A6A4E-DE42-4555-8526-9F01A02EE3CB}" xr6:coauthVersionLast="47" xr6:coauthVersionMax="47" xr10:uidLastSave="{58D80D0C-9DD0-4EFB-873B-3D50A1BFC2BE}"/>
  <bookViews>
    <workbookView xWindow="-108" yWindow="-108" windowWidth="23256" windowHeight="12456" xr2:uid="{FE016115-DCCB-4995-B399-C9B3D426CC00}"/>
  </bookViews>
  <sheets>
    <sheet name="REPORT" sheetId="2" r:id="rId1"/>
    <sheet name="Monthly sale" sheetId="3" r:id="rId2"/>
    <sheet name="Customer gender" sheetId="4" r:id="rId3"/>
    <sheet name="Sales by reg" sheetId="5" r:id="rId4"/>
    <sheet name="Profit  by categ" sheetId="6" r:id="rId5"/>
    <sheet name="Top 10 pro" sheetId="7" r:id="rId6"/>
    <sheet name="DApro" sheetId="1" r:id="rId7"/>
  </sheets>
  <definedNames>
    <definedName name="_xlnm._FilterDatabase" localSheetId="6" hidden="1">DApro!$P$5:$P$5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</calcChain>
</file>

<file path=xl/sharedStrings.xml><?xml version="1.0" encoding="utf-8"?>
<sst xmlns="http://schemas.openxmlformats.org/spreadsheetml/2006/main" count="161" uniqueCount="69">
  <si>
    <t>E-COMMERCE SALES DASHBOARD</t>
  </si>
  <si>
    <t>Order Date</t>
  </si>
  <si>
    <t>Sum of Sales</t>
  </si>
  <si>
    <t>Sum of Profit</t>
  </si>
  <si>
    <t>Grand Total</t>
  </si>
  <si>
    <t>Gender</t>
  </si>
  <si>
    <t>Count of Gender</t>
  </si>
  <si>
    <t>Female</t>
  </si>
  <si>
    <t>Male</t>
  </si>
  <si>
    <t>Region</t>
  </si>
  <si>
    <t>East</t>
  </si>
  <si>
    <t>North</t>
  </si>
  <si>
    <t>South</t>
  </si>
  <si>
    <t>West</t>
  </si>
  <si>
    <t>Product Category</t>
  </si>
  <si>
    <t>Clothing</t>
  </si>
  <si>
    <t>Electronics</t>
  </si>
  <si>
    <t>Furniture</t>
  </si>
  <si>
    <t>Product Name</t>
  </si>
  <si>
    <t>Bookshelf</t>
  </si>
  <si>
    <t>Cap</t>
  </si>
  <si>
    <t>Coffee Table</t>
  </si>
  <si>
    <t>Dining Table</t>
  </si>
  <si>
    <t>Headphones</t>
  </si>
  <si>
    <t>Jacket</t>
  </si>
  <si>
    <t>Jeans</t>
  </si>
  <si>
    <t>Keyboard</t>
  </si>
  <si>
    <t>Laptop</t>
  </si>
  <si>
    <t>Monitor</t>
  </si>
  <si>
    <t>Office Chair</t>
  </si>
  <si>
    <t>Shoes</t>
  </si>
  <si>
    <t>Smart Watch</t>
  </si>
  <si>
    <t>Smartphone</t>
  </si>
  <si>
    <t>Sofa</t>
  </si>
  <si>
    <t>Study Table</t>
  </si>
  <si>
    <t>Sweater</t>
  </si>
  <si>
    <t>Tablet</t>
  </si>
  <si>
    <t>T-Shirt</t>
  </si>
  <si>
    <t>Wardrobe</t>
  </si>
  <si>
    <t>Order ID</t>
  </si>
  <si>
    <t>Customer Name</t>
  </si>
  <si>
    <t>Quantity</t>
  </si>
  <si>
    <t>Sales</t>
  </si>
  <si>
    <t>Cost</t>
  </si>
  <si>
    <t>Profit</t>
  </si>
  <si>
    <t>Total Sales</t>
  </si>
  <si>
    <t>Total Cost</t>
  </si>
  <si>
    <t>Total Profit</t>
  </si>
  <si>
    <t>Total Orders</t>
  </si>
  <si>
    <t>Aarav</t>
  </si>
  <si>
    <t>Diya</t>
  </si>
  <si>
    <t>Vikram</t>
  </si>
  <si>
    <t>Ananya</t>
  </si>
  <si>
    <t>Rohan</t>
  </si>
  <si>
    <t>Meera</t>
  </si>
  <si>
    <t>Arjun</t>
  </si>
  <si>
    <t>Priya</t>
  </si>
  <si>
    <t>Karan</t>
  </si>
  <si>
    <t>Sneha</t>
  </si>
  <si>
    <t>Raj</t>
  </si>
  <si>
    <t>Kavya</t>
  </si>
  <si>
    <t>Manoj</t>
  </si>
  <si>
    <t>Isha</t>
  </si>
  <si>
    <t>Rahul</t>
  </si>
  <si>
    <t>Nisha</t>
  </si>
  <si>
    <t>Ajay</t>
  </si>
  <si>
    <t>Pooja</t>
  </si>
  <si>
    <t>Varun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</si>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</sst>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charset val="1"/>
    </font>
    <font>
      <sz val="24"/>
      <color rgb="FF000000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34" borderId="0" xfId="0" applyFill="1"/>
    <xf numFmtId="0" fontId="0" fillId="34" borderId="10" xfId="0" applyFill="1" applyBorder="1"/>
    <xf numFmtId="0" fontId="19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[DAproj.xlsx]Monthly sale!PivotTable2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>
                <a:solidFill>
                  <a:schemeClr val="tx1"/>
                </a:solidFill>
              </a:rPr>
              <a:t>Monthly</a:t>
            </a:r>
          </a:p>
          <a:p>
            <a:pPr>
              <a:defRPr>
                <a:latin typeface="Arial Black"/>
                <a:ea typeface="Arial Black"/>
                <a:cs typeface="Arial Black"/>
              </a:defRPr>
            </a:pPr>
            <a:r>
              <a:rPr lang="en-US">
                <a:solidFill>
                  <a:schemeClr val="tx1"/>
                </a:solidFill>
              </a:rPr>
              <a:t> Sales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sale'!$A$4:$A$24</c:f>
              <c:strCache>
                <c:ptCount val="20"/>
                <c:pt idx="0">
                  <c:v>05-01-2026</c:v>
                </c:pt>
                <c:pt idx="1">
                  <c:v>08-01-2026</c:v>
                </c:pt>
                <c:pt idx="2">
                  <c:v>10-01-2026</c:v>
                </c:pt>
                <c:pt idx="3">
                  <c:v>12-01-2026</c:v>
                </c:pt>
                <c:pt idx="4">
                  <c:v>15-01-2026</c:v>
                </c:pt>
                <c:pt idx="5">
                  <c:v>18-01-2026</c:v>
                </c:pt>
                <c:pt idx="6">
                  <c:v>20-01-2026</c:v>
                </c:pt>
                <c:pt idx="7">
                  <c:v>22-01-2026</c:v>
                </c:pt>
                <c:pt idx="8">
                  <c:v>25-01-2026</c:v>
                </c:pt>
                <c:pt idx="9">
                  <c:v>28-01-2026</c:v>
                </c:pt>
                <c:pt idx="10">
                  <c:v>02-02-2026</c:v>
                </c:pt>
                <c:pt idx="11">
                  <c:v>04-02-2026</c:v>
                </c:pt>
                <c:pt idx="12">
                  <c:v>07-02-2026</c:v>
                </c:pt>
                <c:pt idx="13">
                  <c:v>10-02-2026</c:v>
                </c:pt>
                <c:pt idx="14">
                  <c:v>12-02-2026</c:v>
                </c:pt>
                <c:pt idx="15">
                  <c:v>15-02-2026</c:v>
                </c:pt>
                <c:pt idx="16">
                  <c:v>18-02-2026</c:v>
                </c:pt>
                <c:pt idx="17">
                  <c:v>20-02-2026</c:v>
                </c:pt>
                <c:pt idx="18">
                  <c:v>23-02-2026</c:v>
                </c:pt>
                <c:pt idx="19">
                  <c:v>26-02-2026</c:v>
                </c:pt>
              </c:strCache>
            </c:strRef>
          </c:cat>
          <c:val>
            <c:numRef>
              <c:f>'Monthly sale'!$B$4:$B$24</c:f>
              <c:numCache>
                <c:formatCode>General</c:formatCode>
                <c:ptCount val="20"/>
                <c:pt idx="0">
                  <c:v>120000</c:v>
                </c:pt>
                <c:pt idx="1">
                  <c:v>25000</c:v>
                </c:pt>
                <c:pt idx="2">
                  <c:v>45000</c:v>
                </c:pt>
                <c:pt idx="3">
                  <c:v>15000</c:v>
                </c:pt>
                <c:pt idx="4">
                  <c:v>20000</c:v>
                </c:pt>
                <c:pt idx="5">
                  <c:v>60000</c:v>
                </c:pt>
                <c:pt idx="6">
                  <c:v>12000</c:v>
                </c:pt>
                <c:pt idx="7">
                  <c:v>18000</c:v>
                </c:pt>
                <c:pt idx="8">
                  <c:v>32000</c:v>
                </c:pt>
                <c:pt idx="9">
                  <c:v>18000</c:v>
                </c:pt>
                <c:pt idx="10">
                  <c:v>50000</c:v>
                </c:pt>
                <c:pt idx="11">
                  <c:v>22500</c:v>
                </c:pt>
                <c:pt idx="12">
                  <c:v>21000</c:v>
                </c:pt>
                <c:pt idx="13">
                  <c:v>35000</c:v>
                </c:pt>
                <c:pt idx="14">
                  <c:v>40000</c:v>
                </c:pt>
                <c:pt idx="15">
                  <c:v>13500</c:v>
                </c:pt>
                <c:pt idx="16">
                  <c:v>45000</c:v>
                </c:pt>
                <c:pt idx="17">
                  <c:v>15000</c:v>
                </c:pt>
                <c:pt idx="18">
                  <c:v>10000</c:v>
                </c:pt>
                <c:pt idx="19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F-44D7-B79D-819638AB1632}"/>
            </c:ext>
          </c:extLst>
        </c:ser>
        <c:ser>
          <c:idx val="1"/>
          <c:order val="1"/>
          <c:tx>
            <c:strRef>
              <c:f>'Monthly sale'!$C$3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sale'!$A$4:$A$24</c:f>
              <c:strCache>
                <c:ptCount val="20"/>
                <c:pt idx="0">
                  <c:v>05-01-2026</c:v>
                </c:pt>
                <c:pt idx="1">
                  <c:v>08-01-2026</c:v>
                </c:pt>
                <c:pt idx="2">
                  <c:v>10-01-2026</c:v>
                </c:pt>
                <c:pt idx="3">
                  <c:v>12-01-2026</c:v>
                </c:pt>
                <c:pt idx="4">
                  <c:v>15-01-2026</c:v>
                </c:pt>
                <c:pt idx="5">
                  <c:v>18-01-2026</c:v>
                </c:pt>
                <c:pt idx="6">
                  <c:v>20-01-2026</c:v>
                </c:pt>
                <c:pt idx="7">
                  <c:v>22-01-2026</c:v>
                </c:pt>
                <c:pt idx="8">
                  <c:v>25-01-2026</c:v>
                </c:pt>
                <c:pt idx="9">
                  <c:v>28-01-2026</c:v>
                </c:pt>
                <c:pt idx="10">
                  <c:v>02-02-2026</c:v>
                </c:pt>
                <c:pt idx="11">
                  <c:v>04-02-2026</c:v>
                </c:pt>
                <c:pt idx="12">
                  <c:v>07-02-2026</c:v>
                </c:pt>
                <c:pt idx="13">
                  <c:v>10-02-2026</c:v>
                </c:pt>
                <c:pt idx="14">
                  <c:v>12-02-2026</c:v>
                </c:pt>
                <c:pt idx="15">
                  <c:v>15-02-2026</c:v>
                </c:pt>
                <c:pt idx="16">
                  <c:v>18-02-2026</c:v>
                </c:pt>
                <c:pt idx="17">
                  <c:v>20-02-2026</c:v>
                </c:pt>
                <c:pt idx="18">
                  <c:v>23-02-2026</c:v>
                </c:pt>
                <c:pt idx="19">
                  <c:v>26-02-2026</c:v>
                </c:pt>
              </c:strCache>
            </c:strRef>
          </c:cat>
          <c:val>
            <c:numRef>
              <c:f>'Monthly sale'!$C$4:$C$24</c:f>
              <c:numCache>
                <c:formatCode>General</c:formatCode>
                <c:ptCount val="20"/>
                <c:pt idx="0">
                  <c:v>20000</c:v>
                </c:pt>
                <c:pt idx="1">
                  <c:v>7000</c:v>
                </c:pt>
                <c:pt idx="2">
                  <c:v>9000</c:v>
                </c:pt>
                <c:pt idx="3">
                  <c:v>5000</c:v>
                </c:pt>
                <c:pt idx="4">
                  <c:v>5000</c:v>
                </c:pt>
                <c:pt idx="5">
                  <c:v>12000</c:v>
                </c:pt>
                <c:pt idx="6">
                  <c:v>4000</c:v>
                </c:pt>
                <c:pt idx="7">
                  <c:v>5000</c:v>
                </c:pt>
                <c:pt idx="8">
                  <c:v>8000</c:v>
                </c:pt>
                <c:pt idx="9">
                  <c:v>6000</c:v>
                </c:pt>
                <c:pt idx="10">
                  <c:v>8000</c:v>
                </c:pt>
                <c:pt idx="11">
                  <c:v>7500</c:v>
                </c:pt>
                <c:pt idx="12">
                  <c:v>5000</c:v>
                </c:pt>
                <c:pt idx="13">
                  <c:v>7000</c:v>
                </c:pt>
                <c:pt idx="14">
                  <c:v>8000</c:v>
                </c:pt>
                <c:pt idx="15">
                  <c:v>4500</c:v>
                </c:pt>
                <c:pt idx="16">
                  <c:v>7000</c:v>
                </c:pt>
                <c:pt idx="17">
                  <c:v>5000</c:v>
                </c:pt>
                <c:pt idx="18">
                  <c:v>3000</c:v>
                </c:pt>
                <c:pt idx="1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F-44D7-B79D-819638AB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52359"/>
        <c:axId val="1251058695"/>
      </c:lineChart>
      <c:catAx>
        <c:axId val="1250852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58695"/>
        <c:crosses val="autoZero"/>
        <c:auto val="1"/>
        <c:lblAlgn val="ctr"/>
        <c:lblOffset val="100"/>
        <c:noMultiLvlLbl val="0"/>
      </c:catAx>
      <c:valAx>
        <c:axId val="1251058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5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33704890266447"/>
          <c:y val="3.1944486829969615E-2"/>
          <c:w val="0.387828775289099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[DAproj.xlsx]Customer gender!PivotTable3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>
                <a:solidFill>
                  <a:schemeClr val="tx1"/>
                </a:solidFill>
              </a:rPr>
              <a:t>CUSTOMER GENDER DISTRIBUTION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DCF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94DCF8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4DCF8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4DCF8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83CCE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D86DC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20-419C-8738-5034A77FE92D}"/>
              </c:ext>
            </c:extLst>
          </c:dPt>
          <c:dPt>
            <c:idx val="1"/>
            <c:bubble3D val="0"/>
            <c:spPr>
              <a:solidFill>
                <a:srgbClr val="83CC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20-419C-8738-5034A77FE9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gender'!$B$4:$B$6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20-419C-8738-5034A77FE9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4376506193306966"/>
          <c:y val="3.1296352810329872E-2"/>
          <c:w val="0.11600658126689388"/>
          <c:h val="0.22962429696287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[DAproj.xlsx]Sales by reg!PivotTable1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D93D9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BE501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BE501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BE501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BE501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080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8E8E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8E8E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reg'!$B$4:$B$8</c:f>
              <c:numCache>
                <c:formatCode>General</c:formatCode>
                <c:ptCount val="4"/>
                <c:pt idx="0">
                  <c:v>157000</c:v>
                </c:pt>
                <c:pt idx="1">
                  <c:v>238000</c:v>
                </c:pt>
                <c:pt idx="2">
                  <c:v>153000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F-4216-BB47-B349BDD7DA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854920"/>
        <c:axId val="2138856968"/>
      </c:barChart>
      <c:catAx>
        <c:axId val="213885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6968"/>
        <c:crosses val="autoZero"/>
        <c:auto val="1"/>
        <c:lblAlgn val="ctr"/>
        <c:lblOffset val="100"/>
        <c:noMultiLvlLbl val="0"/>
      </c:catAx>
      <c:valAx>
        <c:axId val="213885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984713829220748"/>
          <c:y val="1.5624432000588244E-2"/>
          <c:w val="9.197244094488188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[DAproj.xlsx]Profit  by categ!PivotTable2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B3E1"/>
          </a:solidFill>
          <a:ln>
            <a:noFill/>
          </a:ln>
          <a:effectLst/>
        </c:spPr>
      </c:pivotFmt>
      <c:pivotFmt>
        <c:idx val="3"/>
        <c:spPr>
          <a:solidFill>
            <a:srgbClr val="44B3E1"/>
          </a:solidFill>
          <a:ln>
            <a:noFill/>
          </a:ln>
          <a:effectLst/>
        </c:spPr>
      </c:pivotFmt>
      <c:pivotFmt>
        <c:idx val="4"/>
        <c:spPr>
          <a:solidFill>
            <a:srgbClr val="44B3E1"/>
          </a:solidFill>
          <a:ln>
            <a:noFill/>
          </a:ln>
          <a:effectLst/>
        </c:spPr>
      </c:pivotFmt>
      <c:pivotFmt>
        <c:idx val="5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 by 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 by categ'!$A$4:$A$7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'Profit  by categ'!$B$4:$B$7</c:f>
              <c:numCache>
                <c:formatCode>General</c:formatCode>
                <c:ptCount val="3"/>
                <c:pt idx="0">
                  <c:v>27500</c:v>
                </c:pt>
                <c:pt idx="1">
                  <c:v>69500</c:v>
                </c:pt>
                <c:pt idx="2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7-4CCB-9ADE-E36E827DA4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142206472"/>
        <c:axId val="2145541640"/>
      </c:barChart>
      <c:catAx>
        <c:axId val="21422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541640"/>
        <c:crosses val="autoZero"/>
        <c:auto val="1"/>
        <c:lblAlgn val="ctr"/>
        <c:lblOffset val="100"/>
        <c:noMultiLvlLbl val="0"/>
      </c:catAx>
      <c:valAx>
        <c:axId val="214554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276385582150437"/>
          <c:y val="1.0763363275002264E-2"/>
          <c:w val="9.1972440944881884E-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[DAproj.xlsx]Top 10 pro!PivotTable3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'Top 10 pro'!$A$4:$A$24</c:f>
              <c:strCache>
                <c:ptCount val="20"/>
                <c:pt idx="0">
                  <c:v>Bookshelf</c:v>
                </c:pt>
                <c:pt idx="1">
                  <c:v>Cap</c:v>
                </c:pt>
                <c:pt idx="2">
                  <c:v>Coffee Table</c:v>
                </c:pt>
                <c:pt idx="3">
                  <c:v>Dining Table</c:v>
                </c:pt>
                <c:pt idx="4">
                  <c:v>Headphones</c:v>
                </c:pt>
                <c:pt idx="5">
                  <c:v>Jacket</c:v>
                </c:pt>
                <c:pt idx="6">
                  <c:v>Jeans</c:v>
                </c:pt>
                <c:pt idx="7">
                  <c:v>Keyboard</c:v>
                </c:pt>
                <c:pt idx="8">
                  <c:v>Laptop</c:v>
                </c:pt>
                <c:pt idx="9">
                  <c:v>Monitor</c:v>
                </c:pt>
                <c:pt idx="10">
                  <c:v>Office Chair</c:v>
                </c:pt>
                <c:pt idx="11">
                  <c:v>Shoes</c:v>
                </c:pt>
                <c:pt idx="12">
                  <c:v>Smart Watch</c:v>
                </c:pt>
                <c:pt idx="13">
                  <c:v>Smartphone</c:v>
                </c:pt>
                <c:pt idx="14">
                  <c:v>Sofa</c:v>
                </c:pt>
                <c:pt idx="15">
                  <c:v>Study Table</c:v>
                </c:pt>
                <c:pt idx="16">
                  <c:v>Sweater</c:v>
                </c:pt>
                <c:pt idx="17">
                  <c:v>Tablet</c:v>
                </c:pt>
                <c:pt idx="18">
                  <c:v>T-Shirt</c:v>
                </c:pt>
                <c:pt idx="19">
                  <c:v>Wardrobe</c:v>
                </c:pt>
              </c:strCache>
            </c:strRef>
          </c:cat>
          <c:val>
            <c:numRef>
              <c:f>'Top 10 pro'!$B$4:$B$24</c:f>
              <c:numCache>
                <c:formatCode>General</c:formatCode>
                <c:ptCount val="20"/>
                <c:pt idx="0">
                  <c:v>18000</c:v>
                </c:pt>
                <c:pt idx="1">
                  <c:v>10000</c:v>
                </c:pt>
                <c:pt idx="2">
                  <c:v>21000</c:v>
                </c:pt>
                <c:pt idx="3">
                  <c:v>35000</c:v>
                </c:pt>
                <c:pt idx="4">
                  <c:v>22500</c:v>
                </c:pt>
                <c:pt idx="5">
                  <c:v>15000</c:v>
                </c:pt>
                <c:pt idx="6">
                  <c:v>18000</c:v>
                </c:pt>
                <c:pt idx="7">
                  <c:v>15000</c:v>
                </c:pt>
                <c:pt idx="8">
                  <c:v>120000</c:v>
                </c:pt>
                <c:pt idx="9">
                  <c:v>40000</c:v>
                </c:pt>
                <c:pt idx="10">
                  <c:v>25000</c:v>
                </c:pt>
                <c:pt idx="11">
                  <c:v>21000</c:v>
                </c:pt>
                <c:pt idx="12">
                  <c:v>32000</c:v>
                </c:pt>
                <c:pt idx="13">
                  <c:v>45000</c:v>
                </c:pt>
                <c:pt idx="14">
                  <c:v>50000</c:v>
                </c:pt>
                <c:pt idx="15">
                  <c:v>20000</c:v>
                </c:pt>
                <c:pt idx="16">
                  <c:v>13500</c:v>
                </c:pt>
                <c:pt idx="17">
                  <c:v>60000</c:v>
                </c:pt>
                <c:pt idx="18">
                  <c:v>12000</c:v>
                </c:pt>
                <c:pt idx="19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0-4DFA-A4F3-50CB16EE9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3913095"/>
        <c:axId val="13942279"/>
      </c:barChart>
      <c:catAx>
        <c:axId val="13913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279"/>
        <c:crosses val="autoZero"/>
        <c:auto val="1"/>
        <c:lblAlgn val="ctr"/>
        <c:lblOffset val="100"/>
        <c:noMultiLvlLbl val="0"/>
      </c:catAx>
      <c:valAx>
        <c:axId val="13942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43052248817109"/>
          <c:y val="3.9930008748906343E-2"/>
          <c:w val="9.197244094488188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[DAproj.xlsx]Monthly sale!PivotTable2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</a:t>
            </a:r>
          </a:p>
        </c:rich>
      </c:tx>
      <c:layout>
        <c:manualLayout>
          <c:xMode val="edge"/>
          <c:yMode val="edge"/>
          <c:x val="0.258641244973912"/>
          <c:y val="2.5000042385525174E-2"/>
        </c:manualLayout>
      </c:layout>
      <c:overlay val="0"/>
      <c:spPr>
        <a:solidFill>
          <a:srgbClr val="F1A98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sale'!$A$4:$A$24</c:f>
              <c:strCache>
                <c:ptCount val="20"/>
                <c:pt idx="0">
                  <c:v>05-01-2026</c:v>
                </c:pt>
                <c:pt idx="1">
                  <c:v>08-01-2026</c:v>
                </c:pt>
                <c:pt idx="2">
                  <c:v>10-01-2026</c:v>
                </c:pt>
                <c:pt idx="3">
                  <c:v>12-01-2026</c:v>
                </c:pt>
                <c:pt idx="4">
                  <c:v>15-01-2026</c:v>
                </c:pt>
                <c:pt idx="5">
                  <c:v>18-01-2026</c:v>
                </c:pt>
                <c:pt idx="6">
                  <c:v>20-01-2026</c:v>
                </c:pt>
                <c:pt idx="7">
                  <c:v>22-01-2026</c:v>
                </c:pt>
                <c:pt idx="8">
                  <c:v>25-01-2026</c:v>
                </c:pt>
                <c:pt idx="9">
                  <c:v>28-01-2026</c:v>
                </c:pt>
                <c:pt idx="10">
                  <c:v>02-02-2026</c:v>
                </c:pt>
                <c:pt idx="11">
                  <c:v>04-02-2026</c:v>
                </c:pt>
                <c:pt idx="12">
                  <c:v>07-02-2026</c:v>
                </c:pt>
                <c:pt idx="13">
                  <c:v>10-02-2026</c:v>
                </c:pt>
                <c:pt idx="14">
                  <c:v>12-02-2026</c:v>
                </c:pt>
                <c:pt idx="15">
                  <c:v>15-02-2026</c:v>
                </c:pt>
                <c:pt idx="16">
                  <c:v>18-02-2026</c:v>
                </c:pt>
                <c:pt idx="17">
                  <c:v>20-02-2026</c:v>
                </c:pt>
                <c:pt idx="18">
                  <c:v>23-02-2026</c:v>
                </c:pt>
                <c:pt idx="19">
                  <c:v>26-02-2026</c:v>
                </c:pt>
              </c:strCache>
            </c:strRef>
          </c:cat>
          <c:val>
            <c:numRef>
              <c:f>'Monthly sale'!$B$4:$B$24</c:f>
              <c:numCache>
                <c:formatCode>General</c:formatCode>
                <c:ptCount val="20"/>
                <c:pt idx="0">
                  <c:v>120000</c:v>
                </c:pt>
                <c:pt idx="1">
                  <c:v>25000</c:v>
                </c:pt>
                <c:pt idx="2">
                  <c:v>45000</c:v>
                </c:pt>
                <c:pt idx="3">
                  <c:v>15000</c:v>
                </c:pt>
                <c:pt idx="4">
                  <c:v>20000</c:v>
                </c:pt>
                <c:pt idx="5">
                  <c:v>60000</c:v>
                </c:pt>
                <c:pt idx="6">
                  <c:v>12000</c:v>
                </c:pt>
                <c:pt idx="7">
                  <c:v>18000</c:v>
                </c:pt>
                <c:pt idx="8">
                  <c:v>32000</c:v>
                </c:pt>
                <c:pt idx="9">
                  <c:v>18000</c:v>
                </c:pt>
                <c:pt idx="10">
                  <c:v>50000</c:v>
                </c:pt>
                <c:pt idx="11">
                  <c:v>22500</c:v>
                </c:pt>
                <c:pt idx="12">
                  <c:v>21000</c:v>
                </c:pt>
                <c:pt idx="13">
                  <c:v>35000</c:v>
                </c:pt>
                <c:pt idx="14">
                  <c:v>40000</c:v>
                </c:pt>
                <c:pt idx="15">
                  <c:v>13500</c:v>
                </c:pt>
                <c:pt idx="16">
                  <c:v>45000</c:v>
                </c:pt>
                <c:pt idx="17">
                  <c:v>15000</c:v>
                </c:pt>
                <c:pt idx="18">
                  <c:v>10000</c:v>
                </c:pt>
                <c:pt idx="19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8-4E72-B26A-72A4AA5FAFEA}"/>
            </c:ext>
          </c:extLst>
        </c:ser>
        <c:ser>
          <c:idx val="1"/>
          <c:order val="1"/>
          <c:tx>
            <c:strRef>
              <c:f>'Monthly sale'!$C$3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sale'!$A$4:$A$24</c:f>
              <c:strCache>
                <c:ptCount val="20"/>
                <c:pt idx="0">
                  <c:v>05-01-2026</c:v>
                </c:pt>
                <c:pt idx="1">
                  <c:v>08-01-2026</c:v>
                </c:pt>
                <c:pt idx="2">
                  <c:v>10-01-2026</c:v>
                </c:pt>
                <c:pt idx="3">
                  <c:v>12-01-2026</c:v>
                </c:pt>
                <c:pt idx="4">
                  <c:v>15-01-2026</c:v>
                </c:pt>
                <c:pt idx="5">
                  <c:v>18-01-2026</c:v>
                </c:pt>
                <c:pt idx="6">
                  <c:v>20-01-2026</c:v>
                </c:pt>
                <c:pt idx="7">
                  <c:v>22-01-2026</c:v>
                </c:pt>
                <c:pt idx="8">
                  <c:v>25-01-2026</c:v>
                </c:pt>
                <c:pt idx="9">
                  <c:v>28-01-2026</c:v>
                </c:pt>
                <c:pt idx="10">
                  <c:v>02-02-2026</c:v>
                </c:pt>
                <c:pt idx="11">
                  <c:v>04-02-2026</c:v>
                </c:pt>
                <c:pt idx="12">
                  <c:v>07-02-2026</c:v>
                </c:pt>
                <c:pt idx="13">
                  <c:v>10-02-2026</c:v>
                </c:pt>
                <c:pt idx="14">
                  <c:v>12-02-2026</c:v>
                </c:pt>
                <c:pt idx="15">
                  <c:v>15-02-2026</c:v>
                </c:pt>
                <c:pt idx="16">
                  <c:v>18-02-2026</c:v>
                </c:pt>
                <c:pt idx="17">
                  <c:v>20-02-2026</c:v>
                </c:pt>
                <c:pt idx="18">
                  <c:v>23-02-2026</c:v>
                </c:pt>
                <c:pt idx="19">
                  <c:v>26-02-2026</c:v>
                </c:pt>
              </c:strCache>
            </c:strRef>
          </c:cat>
          <c:val>
            <c:numRef>
              <c:f>'Monthly sale'!$C$4:$C$24</c:f>
              <c:numCache>
                <c:formatCode>General</c:formatCode>
                <c:ptCount val="20"/>
                <c:pt idx="0">
                  <c:v>20000</c:v>
                </c:pt>
                <c:pt idx="1">
                  <c:v>7000</c:v>
                </c:pt>
                <c:pt idx="2">
                  <c:v>9000</c:v>
                </c:pt>
                <c:pt idx="3">
                  <c:v>5000</c:v>
                </c:pt>
                <c:pt idx="4">
                  <c:v>5000</c:v>
                </c:pt>
                <c:pt idx="5">
                  <c:v>12000</c:v>
                </c:pt>
                <c:pt idx="6">
                  <c:v>4000</c:v>
                </c:pt>
                <c:pt idx="7">
                  <c:v>5000</c:v>
                </c:pt>
                <c:pt idx="8">
                  <c:v>8000</c:v>
                </c:pt>
                <c:pt idx="9">
                  <c:v>6000</c:v>
                </c:pt>
                <c:pt idx="10">
                  <c:v>8000</c:v>
                </c:pt>
                <c:pt idx="11">
                  <c:v>7500</c:v>
                </c:pt>
                <c:pt idx="12">
                  <c:v>5000</c:v>
                </c:pt>
                <c:pt idx="13">
                  <c:v>7000</c:v>
                </c:pt>
                <c:pt idx="14">
                  <c:v>8000</c:v>
                </c:pt>
                <c:pt idx="15">
                  <c:v>4500</c:v>
                </c:pt>
                <c:pt idx="16">
                  <c:v>7000</c:v>
                </c:pt>
                <c:pt idx="17">
                  <c:v>5000</c:v>
                </c:pt>
                <c:pt idx="18">
                  <c:v>3000</c:v>
                </c:pt>
                <c:pt idx="1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8-4E72-B26A-72A4AA5FA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52359"/>
        <c:axId val="1251058695"/>
      </c:lineChart>
      <c:catAx>
        <c:axId val="1250852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58695"/>
        <c:crosses val="autoZero"/>
        <c:auto val="1"/>
        <c:lblAlgn val="ctr"/>
        <c:lblOffset val="100"/>
        <c:noMultiLvlLbl val="0"/>
      </c:catAx>
      <c:valAx>
        <c:axId val="1251058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5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33704890266447"/>
          <c:y val="3.1944486829969615E-2"/>
          <c:w val="0.387828775289099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[DAproj.xlsx]Customer gender!PivotTable3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 MOST CUSTOMER </a:t>
            </a:r>
          </a:p>
        </c:rich>
      </c:tx>
      <c:layout>
        <c:manualLayout>
          <c:xMode val="edge"/>
          <c:yMode val="edge"/>
          <c:x val="2.2153517097670498E-3"/>
          <c:y val="4.1666666666666683E-3"/>
        </c:manualLayout>
      </c:layout>
      <c:overlay val="0"/>
      <c:spPr>
        <a:solidFill>
          <a:srgbClr val="F1A98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DCF8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86DC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86DCD"/>
            </a:solidFill>
          </c:spPr>
          <c:dPt>
            <c:idx val="0"/>
            <c:bubble3D val="0"/>
            <c:spPr>
              <a:solidFill>
                <a:srgbClr val="D86DC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D5-4722-B1C3-6E42B34B4F59}"/>
              </c:ext>
            </c:extLst>
          </c:dPt>
          <c:dPt>
            <c:idx val="1"/>
            <c:bubble3D val="0"/>
            <c:spPr>
              <a:solidFill>
                <a:srgbClr val="94DCF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5-4722-B1C3-6E42B34B4F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gender'!$B$4:$B$6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5-4722-B1C3-6E42B34B4F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41110989857"/>
          <c:y val="5.8389752562980901E-2"/>
          <c:w val="0.12671611361079865"/>
          <c:h val="0.19230903829329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[DAproj.xlsx]Sales by reg!PivotTable1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reg'!$B$4:$B$8</c:f>
              <c:numCache>
                <c:formatCode>General</c:formatCode>
                <c:ptCount val="4"/>
                <c:pt idx="0">
                  <c:v>157000</c:v>
                </c:pt>
                <c:pt idx="1">
                  <c:v>238000</c:v>
                </c:pt>
                <c:pt idx="2">
                  <c:v>153000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B-42F7-AC42-FE69CDE40B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8854920"/>
        <c:axId val="2138856968"/>
      </c:barChart>
      <c:catAx>
        <c:axId val="213885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6968"/>
        <c:crosses val="autoZero"/>
        <c:auto val="1"/>
        <c:lblAlgn val="ctr"/>
        <c:lblOffset val="100"/>
        <c:noMultiLvlLbl val="0"/>
      </c:catAx>
      <c:valAx>
        <c:axId val="213885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984713829220748"/>
          <c:y val="1.5624432000588244E-2"/>
          <c:w val="9.197244094488188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[DAproj.xlsx]Profit  by categ!PivotTable2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B3E1"/>
          </a:solidFill>
          <a:ln>
            <a:noFill/>
          </a:ln>
          <a:effectLst/>
        </c:spPr>
      </c:pivotFmt>
      <c:pivotFmt>
        <c:idx val="3"/>
        <c:spPr>
          <a:solidFill>
            <a:srgbClr val="44B3E1"/>
          </a:solidFill>
          <a:ln>
            <a:noFill/>
          </a:ln>
          <a:effectLst/>
        </c:spPr>
      </c:pivotFmt>
      <c:pivotFmt>
        <c:idx val="4"/>
        <c:spPr>
          <a:solidFill>
            <a:srgbClr val="44B3E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 by 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 by categ'!$A$4:$A$7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'Profit  by categ'!$B$4:$B$7</c:f>
              <c:numCache>
                <c:formatCode>General</c:formatCode>
                <c:ptCount val="3"/>
                <c:pt idx="0">
                  <c:v>27500</c:v>
                </c:pt>
                <c:pt idx="1">
                  <c:v>69500</c:v>
                </c:pt>
                <c:pt idx="2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8-4DB3-8649-B262D41B5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142206472"/>
        <c:axId val="2145541640"/>
      </c:barChart>
      <c:catAx>
        <c:axId val="21422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541640"/>
        <c:crosses val="autoZero"/>
        <c:auto val="1"/>
        <c:lblAlgn val="ctr"/>
        <c:lblOffset val="100"/>
        <c:noMultiLvlLbl val="0"/>
      </c:catAx>
      <c:valAx>
        <c:axId val="214554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276385582150437"/>
          <c:y val="1.0763363275002264E-2"/>
          <c:w val="9.1972440944881884E-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[DAproj.xlsx]Top 10 pro!PivotTable3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  <c:spPr>
        <a:solidFill>
          <a:srgbClr val="F7C7A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'Top 10 pro'!$A$4:$A$24</c:f>
              <c:strCache>
                <c:ptCount val="20"/>
                <c:pt idx="0">
                  <c:v>Bookshelf</c:v>
                </c:pt>
                <c:pt idx="1">
                  <c:v>Cap</c:v>
                </c:pt>
                <c:pt idx="2">
                  <c:v>Coffee Table</c:v>
                </c:pt>
                <c:pt idx="3">
                  <c:v>Dining Table</c:v>
                </c:pt>
                <c:pt idx="4">
                  <c:v>Headphones</c:v>
                </c:pt>
                <c:pt idx="5">
                  <c:v>Jacket</c:v>
                </c:pt>
                <c:pt idx="6">
                  <c:v>Jeans</c:v>
                </c:pt>
                <c:pt idx="7">
                  <c:v>Keyboard</c:v>
                </c:pt>
                <c:pt idx="8">
                  <c:v>Laptop</c:v>
                </c:pt>
                <c:pt idx="9">
                  <c:v>Monitor</c:v>
                </c:pt>
                <c:pt idx="10">
                  <c:v>Office Chair</c:v>
                </c:pt>
                <c:pt idx="11">
                  <c:v>Shoes</c:v>
                </c:pt>
                <c:pt idx="12">
                  <c:v>Smart Watch</c:v>
                </c:pt>
                <c:pt idx="13">
                  <c:v>Smartphone</c:v>
                </c:pt>
                <c:pt idx="14">
                  <c:v>Sofa</c:v>
                </c:pt>
                <c:pt idx="15">
                  <c:v>Study Table</c:v>
                </c:pt>
                <c:pt idx="16">
                  <c:v>Sweater</c:v>
                </c:pt>
                <c:pt idx="17">
                  <c:v>Tablet</c:v>
                </c:pt>
                <c:pt idx="18">
                  <c:v>T-Shirt</c:v>
                </c:pt>
                <c:pt idx="19">
                  <c:v>Wardrobe</c:v>
                </c:pt>
              </c:strCache>
            </c:strRef>
          </c:cat>
          <c:val>
            <c:numRef>
              <c:f>'Top 10 pro'!$B$4:$B$24</c:f>
              <c:numCache>
                <c:formatCode>General</c:formatCode>
                <c:ptCount val="20"/>
                <c:pt idx="0">
                  <c:v>18000</c:v>
                </c:pt>
                <c:pt idx="1">
                  <c:v>10000</c:v>
                </c:pt>
                <c:pt idx="2">
                  <c:v>21000</c:v>
                </c:pt>
                <c:pt idx="3">
                  <c:v>35000</c:v>
                </c:pt>
                <c:pt idx="4">
                  <c:v>22500</c:v>
                </c:pt>
                <c:pt idx="5">
                  <c:v>15000</c:v>
                </c:pt>
                <c:pt idx="6">
                  <c:v>18000</c:v>
                </c:pt>
                <c:pt idx="7">
                  <c:v>15000</c:v>
                </c:pt>
                <c:pt idx="8">
                  <c:v>120000</c:v>
                </c:pt>
                <c:pt idx="9">
                  <c:v>40000</c:v>
                </c:pt>
                <c:pt idx="10">
                  <c:v>25000</c:v>
                </c:pt>
                <c:pt idx="11">
                  <c:v>21000</c:v>
                </c:pt>
                <c:pt idx="12">
                  <c:v>32000</c:v>
                </c:pt>
                <c:pt idx="13">
                  <c:v>45000</c:v>
                </c:pt>
                <c:pt idx="14">
                  <c:v>50000</c:v>
                </c:pt>
                <c:pt idx="15">
                  <c:v>20000</c:v>
                </c:pt>
                <c:pt idx="16">
                  <c:v>13500</c:v>
                </c:pt>
                <c:pt idx="17">
                  <c:v>60000</c:v>
                </c:pt>
                <c:pt idx="18">
                  <c:v>12000</c:v>
                </c:pt>
                <c:pt idx="19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0-4C32-88C5-FCF6D772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3913095"/>
        <c:axId val="13942279"/>
      </c:barChart>
      <c:catAx>
        <c:axId val="13913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279"/>
        <c:crosses val="autoZero"/>
        <c:auto val="1"/>
        <c:lblAlgn val="ctr"/>
        <c:lblOffset val="100"/>
        <c:noMultiLvlLbl val="0"/>
      </c:catAx>
      <c:valAx>
        <c:axId val="13942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943052248817109"/>
          <c:y val="3.9930008748906343E-2"/>
          <c:w val="9.197244094488188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5</xdr:col>
      <xdr:colOff>400050</xdr:colOff>
      <xdr:row>11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17645-AE65-4EC7-AB49-EFC70F5C0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1</xdr:row>
      <xdr:rowOff>57150</xdr:rowOff>
    </xdr:from>
    <xdr:to>
      <xdr:col>12</xdr:col>
      <xdr:colOff>581025</xdr:colOff>
      <xdr:row>11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A71AD0-2DB6-44AC-9D95-1823C14391E0}"/>
            </a:ext>
            <a:ext uri="{147F2762-F138-4A5C-976F-8EAC2B608ADB}">
              <a16:predDERef xmlns:a16="http://schemas.microsoft.com/office/drawing/2014/main" pred="{9EC17645-AE65-4EC7-AB49-EFC70F5C0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123825</xdr:rowOff>
    </xdr:from>
    <xdr:to>
      <xdr:col>5</xdr:col>
      <xdr:colOff>381000</xdr:colOff>
      <xdr:row>26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9928F7-772E-471A-8109-CF753A0A255E}"/>
            </a:ext>
            <a:ext uri="{147F2762-F138-4A5C-976F-8EAC2B608ADB}">
              <a16:predDERef xmlns:a16="http://schemas.microsoft.com/office/drawing/2014/main" pred="{54A71AD0-2DB6-44AC-9D95-1823C1439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619125</xdr:colOff>
      <xdr:row>12</xdr:row>
      <xdr:rowOff>161925</xdr:rowOff>
    </xdr:from>
    <xdr:to>
      <xdr:col>12</xdr:col>
      <xdr:colOff>619125</xdr:colOff>
      <xdr:row>26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EFDEF9-717A-4345-A2AB-62843E2A42B5}"/>
            </a:ext>
            <a:ext uri="{147F2762-F138-4A5C-976F-8EAC2B608ADB}">
              <a16:predDERef xmlns:a16="http://schemas.microsoft.com/office/drawing/2014/main" pred="{879928F7-772E-471A-8109-CF753A0A2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57150</xdr:colOff>
      <xdr:row>26</xdr:row>
      <xdr:rowOff>152400</xdr:rowOff>
    </xdr:from>
    <xdr:to>
      <xdr:col>9</xdr:col>
      <xdr:colOff>228600</xdr:colOff>
      <xdr:row>41</xdr:row>
      <xdr:rowOff>38100</xdr:rowOff>
    </xdr:to>
    <xdr:graphicFrame macro="">
      <xdr:nvGraphicFramePr>
        <xdr:cNvPr id="14" name="Chart 8">
          <a:extLst>
            <a:ext uri="{FF2B5EF4-FFF2-40B4-BE49-F238E27FC236}">
              <a16:creationId xmlns:a16="http://schemas.microsoft.com/office/drawing/2014/main" id="{03FFF15C-4271-40C8-A7D5-86136D27EA0B}"/>
            </a:ext>
            <a:ext uri="{147F2762-F138-4A5C-976F-8EAC2B608ADB}">
              <a16:predDERef xmlns:a16="http://schemas.microsoft.com/office/drawing/2014/main" pred="{E1EFDEF9-717A-4345-A2AB-62843E2A4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5</xdr:row>
      <xdr:rowOff>114300</xdr:rowOff>
    </xdr:from>
    <xdr:to>
      <xdr:col>10</xdr:col>
      <xdr:colOff>85725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2695A-5335-2939-5308-EFDDCCB51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51435</xdr:rowOff>
    </xdr:from>
    <xdr:to>
      <xdr:col>11</xdr:col>
      <xdr:colOff>28575</xdr:colOff>
      <xdr:row>16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E5D32-6FD2-62EA-419D-46F0053A7AD7}"/>
            </a:ext>
            <a:ext uri="{147F2762-F138-4A5C-976F-8EAC2B608ADB}">
              <a16:predDERef xmlns:a16="http://schemas.microsoft.com/office/drawing/2014/main" pred="{7FECCD2B-1DC0-ACA1-1555-243FD1F31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</xdr:row>
      <xdr:rowOff>142875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369B5-C87F-147D-6F58-C3399E602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4</xdr:row>
      <xdr:rowOff>142875</xdr:rowOff>
    </xdr:from>
    <xdr:to>
      <xdr:col>10</xdr:col>
      <xdr:colOff>9525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ED048-308C-9BA4-04BD-CDCBE6CDC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</xdr:row>
      <xdr:rowOff>85725</xdr:rowOff>
    </xdr:from>
    <xdr:to>
      <xdr:col>10</xdr:col>
      <xdr:colOff>561975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2F5C5-13D0-974D-1FF4-976EA10C9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859285995371" createdVersion="8" refreshedVersion="8" minRefreshableVersion="3" recordCount="20" xr:uid="{71512274-7B12-4FDA-B04E-CBF5461DBBBE}">
  <cacheSource type="worksheet">
    <worksheetSource ref="A1:O21" sheet="DApro"/>
  </cacheSource>
  <cacheFields count="15">
    <cacheField name="Order ID" numFmtId="0">
      <sharedItems containsSemiMixedTypes="0" containsString="0" containsNumber="1" containsInteger="1" minValue="1001" maxValue="1020"/>
    </cacheField>
    <cacheField name="Order Date" numFmtId="14">
      <sharedItems containsSemiMixedTypes="0" containsNonDate="0" containsDate="1" containsString="0" minDate="2026-01-05T00:00:00" maxDate="2026-02-27T00:00:00" count="20">
        <d v="2026-01-05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2-02T00:00:00"/>
        <d v="2026-02-04T00:00:00"/>
        <d v="2026-02-07T00:00:00"/>
        <d v="2026-02-10T00:00:00"/>
        <d v="2026-02-12T00:00:00"/>
        <d v="2026-02-15T00:00:00"/>
        <d v="2026-02-18T00:00:00"/>
        <d v="2026-02-20T00:00:00"/>
        <d v="2026-02-23T00:00:00"/>
        <d v="2026-02-26T00:00:00"/>
      </sharedItems>
    </cacheField>
    <cacheField name="Customer Name" numFmtId="0">
      <sharedItems/>
    </cacheField>
    <cacheField name="Gender" numFmtId="0">
      <sharedItems count="2">
        <s v="Male"/>
        <s v="Female"/>
      </sharedItems>
    </cacheField>
    <cacheField name="Region" numFmtId="0">
      <sharedItems count="4">
        <s v="North"/>
        <s v="South"/>
        <s v="East"/>
        <s v="West"/>
      </sharedItems>
    </cacheField>
    <cacheField name="Product Category" numFmtId="0">
      <sharedItems count="3">
        <s v="Electronics"/>
        <s v="Furniture"/>
        <s v="Clothing"/>
      </sharedItems>
    </cacheField>
    <cacheField name="Product Name" numFmtId="0">
      <sharedItems count="20">
        <s v="Laptop"/>
        <s v="Office Chair"/>
        <s v="Smartphone"/>
        <s v="Jacket"/>
        <s v="Study Table"/>
        <s v="Tablet"/>
        <s v="T-Shirt"/>
        <s v="Bookshelf"/>
        <s v="Smart Watch"/>
        <s v="Jeans"/>
        <s v="Sofa"/>
        <s v="Headphones"/>
        <s v="Shoes"/>
        <s v="Dining Table"/>
        <s v="Monitor"/>
        <s v="Sweater"/>
        <s v="Wardrobe"/>
        <s v="Keyboard"/>
        <s v="Cap"/>
        <s v="Coffee Table"/>
      </sharedItems>
    </cacheField>
    <cacheField name="Quantity" numFmtId="0">
      <sharedItems containsSemiMixedTypes="0" containsString="0" containsNumber="1" containsInteger="1" minValue="1" maxValue="25"/>
    </cacheField>
    <cacheField name="Sales" numFmtId="0">
      <sharedItems containsSemiMixedTypes="0" containsString="0" containsNumber="1" containsInteger="1" minValue="10000" maxValue="120000" count="16">
        <n v="120000"/>
        <n v="25000"/>
        <n v="45000"/>
        <n v="15000"/>
        <n v="20000"/>
        <n v="60000"/>
        <n v="12000"/>
        <n v="18000"/>
        <n v="32000"/>
        <n v="50000"/>
        <n v="22500"/>
        <n v="21000"/>
        <n v="35000"/>
        <n v="40000"/>
        <n v="13500"/>
        <n v="10000"/>
      </sharedItems>
    </cacheField>
    <cacheField name="Cost" numFmtId="0">
      <sharedItems containsSemiMixedTypes="0" containsString="0" containsNumber="1" containsInteger="1" minValue="7000" maxValue="100000"/>
    </cacheField>
    <cacheField name="Profit" numFmtId="0">
      <sharedItems containsSemiMixedTypes="0" containsString="0" containsNumber="1" containsInteger="1" minValue="3000" maxValue="20000" count="11">
        <n v="20000"/>
        <n v="7000"/>
        <n v="9000"/>
        <n v="5000"/>
        <n v="12000"/>
        <n v="4000"/>
        <n v="8000"/>
        <n v="6000"/>
        <n v="7500"/>
        <n v="4500"/>
        <n v="3000"/>
      </sharedItems>
    </cacheField>
    <cacheField name="Total Sales" numFmtId="0">
      <sharedItems containsString="0" containsBlank="1" containsNumber="1" containsInteger="1" minValue="638000" maxValue="638000"/>
    </cacheField>
    <cacheField name="Total Cost" numFmtId="0">
      <sharedItems containsString="0" containsBlank="1" containsNumber="1" containsInteger="1" minValue="497000" maxValue="497000"/>
    </cacheField>
    <cacheField name="Total Profit" numFmtId="0">
      <sharedItems containsString="0" containsBlank="1" containsNumber="1" containsInteger="1" minValue="141000" maxValue="141000"/>
    </cacheField>
    <cacheField name="Total Orders" numFmtId="0">
      <sharedItems containsString="0" containsBlank="1" containsNumber="1" containsInteger="1" minValue="20" maxValue="20" count="2">
        <n v="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s v="Aarav"/>
    <x v="0"/>
    <x v="0"/>
    <x v="0"/>
    <x v="0"/>
    <n v="2"/>
    <x v="0"/>
    <n v="100000"/>
    <x v="0"/>
    <n v="638000"/>
    <n v="497000"/>
    <n v="141000"/>
    <x v="0"/>
  </r>
  <r>
    <n v="1002"/>
    <x v="1"/>
    <s v="Diya"/>
    <x v="1"/>
    <x v="1"/>
    <x v="1"/>
    <x v="1"/>
    <n v="5"/>
    <x v="1"/>
    <n v="18000"/>
    <x v="1"/>
    <m/>
    <m/>
    <m/>
    <x v="1"/>
  </r>
  <r>
    <n v="1003"/>
    <x v="2"/>
    <s v="Vikram"/>
    <x v="0"/>
    <x v="2"/>
    <x v="0"/>
    <x v="2"/>
    <n v="3"/>
    <x v="2"/>
    <n v="36000"/>
    <x v="2"/>
    <m/>
    <m/>
    <m/>
    <x v="1"/>
  </r>
  <r>
    <n v="1004"/>
    <x v="3"/>
    <s v="Ananya"/>
    <x v="1"/>
    <x v="3"/>
    <x v="2"/>
    <x v="3"/>
    <n v="10"/>
    <x v="3"/>
    <n v="10000"/>
    <x v="3"/>
    <m/>
    <m/>
    <m/>
    <x v="1"/>
  </r>
  <r>
    <n v="1005"/>
    <x v="4"/>
    <s v="Rohan"/>
    <x v="1"/>
    <x v="0"/>
    <x v="1"/>
    <x v="4"/>
    <n v="4"/>
    <x v="4"/>
    <n v="15000"/>
    <x v="3"/>
    <m/>
    <m/>
    <m/>
    <x v="1"/>
  </r>
  <r>
    <n v="1006"/>
    <x v="5"/>
    <s v="Meera"/>
    <x v="0"/>
    <x v="1"/>
    <x v="0"/>
    <x v="5"/>
    <n v="6"/>
    <x v="5"/>
    <n v="48000"/>
    <x v="4"/>
    <m/>
    <m/>
    <m/>
    <x v="1"/>
  </r>
  <r>
    <n v="1007"/>
    <x v="6"/>
    <s v="Arjun"/>
    <x v="1"/>
    <x v="2"/>
    <x v="2"/>
    <x v="6"/>
    <n v="20"/>
    <x v="6"/>
    <n v="8000"/>
    <x v="5"/>
    <m/>
    <m/>
    <m/>
    <x v="1"/>
  </r>
  <r>
    <n v="1008"/>
    <x v="7"/>
    <s v="Priya"/>
    <x v="1"/>
    <x v="3"/>
    <x v="1"/>
    <x v="7"/>
    <n v="3"/>
    <x v="7"/>
    <n v="13000"/>
    <x v="3"/>
    <m/>
    <m/>
    <m/>
    <x v="1"/>
  </r>
  <r>
    <n v="1009"/>
    <x v="8"/>
    <s v="Karan"/>
    <x v="0"/>
    <x v="0"/>
    <x v="0"/>
    <x v="8"/>
    <n v="8"/>
    <x v="8"/>
    <n v="24000"/>
    <x v="6"/>
    <m/>
    <m/>
    <m/>
    <x v="1"/>
  </r>
  <r>
    <n v="1010"/>
    <x v="9"/>
    <s v="Sneha"/>
    <x v="0"/>
    <x v="1"/>
    <x v="2"/>
    <x v="9"/>
    <n v="12"/>
    <x v="7"/>
    <n v="12000"/>
    <x v="7"/>
    <m/>
    <m/>
    <m/>
    <x v="1"/>
  </r>
  <r>
    <n v="1011"/>
    <x v="10"/>
    <s v="Raj"/>
    <x v="0"/>
    <x v="2"/>
    <x v="1"/>
    <x v="10"/>
    <n v="2"/>
    <x v="9"/>
    <n v="42000"/>
    <x v="6"/>
    <m/>
    <m/>
    <m/>
    <x v="1"/>
  </r>
  <r>
    <n v="1012"/>
    <x v="11"/>
    <s v="Kavya"/>
    <x v="1"/>
    <x v="3"/>
    <x v="0"/>
    <x v="11"/>
    <n v="15"/>
    <x v="10"/>
    <n v="15000"/>
    <x v="8"/>
    <m/>
    <m/>
    <m/>
    <x v="1"/>
  </r>
  <r>
    <n v="1013"/>
    <x v="12"/>
    <s v="Manoj"/>
    <x v="1"/>
    <x v="0"/>
    <x v="2"/>
    <x v="12"/>
    <n v="7"/>
    <x v="11"/>
    <n v="16000"/>
    <x v="3"/>
    <m/>
    <m/>
    <m/>
    <x v="1"/>
  </r>
  <r>
    <n v="1014"/>
    <x v="13"/>
    <s v="Isha"/>
    <x v="1"/>
    <x v="1"/>
    <x v="1"/>
    <x v="13"/>
    <n v="1"/>
    <x v="12"/>
    <n v="28000"/>
    <x v="1"/>
    <m/>
    <m/>
    <m/>
    <x v="1"/>
  </r>
  <r>
    <n v="1015"/>
    <x v="14"/>
    <s v="Rahul"/>
    <x v="0"/>
    <x v="2"/>
    <x v="0"/>
    <x v="14"/>
    <n v="4"/>
    <x v="13"/>
    <n v="32000"/>
    <x v="6"/>
    <m/>
    <m/>
    <m/>
    <x v="1"/>
  </r>
  <r>
    <n v="1016"/>
    <x v="15"/>
    <s v="Nisha"/>
    <x v="0"/>
    <x v="3"/>
    <x v="2"/>
    <x v="15"/>
    <n v="9"/>
    <x v="14"/>
    <n v="9000"/>
    <x v="9"/>
    <m/>
    <m/>
    <m/>
    <x v="1"/>
  </r>
  <r>
    <n v="1017"/>
    <x v="16"/>
    <s v="Ajay"/>
    <x v="0"/>
    <x v="0"/>
    <x v="1"/>
    <x v="16"/>
    <n v="2"/>
    <x v="2"/>
    <n v="38000"/>
    <x v="1"/>
    <m/>
    <m/>
    <m/>
    <x v="1"/>
  </r>
  <r>
    <n v="1018"/>
    <x v="17"/>
    <s v="Pooja"/>
    <x v="1"/>
    <x v="1"/>
    <x v="0"/>
    <x v="17"/>
    <n v="10"/>
    <x v="3"/>
    <n v="10000"/>
    <x v="3"/>
    <m/>
    <m/>
    <m/>
    <x v="1"/>
  </r>
  <r>
    <n v="1019"/>
    <x v="18"/>
    <s v="Varun"/>
    <x v="1"/>
    <x v="2"/>
    <x v="2"/>
    <x v="18"/>
    <n v="25"/>
    <x v="15"/>
    <n v="7000"/>
    <x v="10"/>
    <m/>
    <m/>
    <m/>
    <x v="1"/>
  </r>
  <r>
    <n v="1020"/>
    <x v="19"/>
    <s v="Neha"/>
    <x v="1"/>
    <x v="3"/>
    <x v="1"/>
    <x v="19"/>
    <n v="3"/>
    <x v="11"/>
    <n v="16000"/>
    <x v="3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212B2-C123-47C8-8FF6-324EF2F347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24" firstHeaderRow="0" firstDataRow="1" firstDataCol="1"/>
  <pivotFields count="15">
    <pivotField compact="0" outline="0" showAll="0"/>
    <pivotField axis="axisRow" compact="0" numFmtId="14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7">
        <item x="15"/>
        <item x="6"/>
        <item x="14"/>
        <item x="3"/>
        <item x="7"/>
        <item x="4"/>
        <item x="11"/>
        <item x="10"/>
        <item x="1"/>
        <item x="8"/>
        <item x="12"/>
        <item x="13"/>
        <item x="2"/>
        <item x="9"/>
        <item x="5"/>
        <item x="0"/>
        <item t="default"/>
      </items>
    </pivotField>
    <pivotField compact="0" outline="0" showAll="0"/>
    <pivotField dataField="1" compact="0" outline="0" showAll="0">
      <items count="12">
        <item x="10"/>
        <item x="5"/>
        <item x="9"/>
        <item x="3"/>
        <item x="7"/>
        <item x="1"/>
        <item x="8"/>
        <item x="6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0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6009D-1879-4733-8C65-9123BFC1AFD9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2">
  <location ref="A3:B6" firstHeaderRow="1" firstDataRow="1" firstDataCol="1"/>
  <pivotFields count="15">
    <pivotField compact="0" outline="0" showAll="0"/>
    <pivotField compact="0" numFmtId="14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Gender" fld="3" subtotal="count" baseField="0" baseItem="0"/>
  </dataFields>
  <chartFormats count="4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06441-D0BE-4441-87AB-85BE3E0FA5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5AE3A-BD1E-449D-8459-8DA6C36163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21">
        <item x="7"/>
        <item x="18"/>
        <item x="19"/>
        <item x="13"/>
        <item x="11"/>
        <item x="3"/>
        <item x="9"/>
        <item x="17"/>
        <item x="0"/>
        <item x="14"/>
        <item x="1"/>
        <item x="12"/>
        <item x="8"/>
        <item x="2"/>
        <item x="10"/>
        <item x="4"/>
        <item x="15"/>
        <item x="5"/>
        <item x="6"/>
        <item x="1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2">
        <item x="10"/>
        <item x="5"/>
        <item x="9"/>
        <item x="3"/>
        <item x="7"/>
        <item x="1"/>
        <item x="8"/>
        <item x="6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0D19A-49A0-479C-87E1-E8326C072A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24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1">
        <item x="7"/>
        <item x="18"/>
        <item x="19"/>
        <item x="13"/>
        <item x="11"/>
        <item x="3"/>
        <item x="9"/>
        <item x="17"/>
        <item x="0"/>
        <item x="14"/>
        <item x="1"/>
        <item x="12"/>
        <item x="8"/>
        <item x="2"/>
        <item x="10"/>
        <item x="4"/>
        <item x="15"/>
        <item x="5"/>
        <item x="6"/>
        <item x="1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E1F1-7256-4138-B554-4369836A5C84}">
  <dimension ref="A1:N42"/>
  <sheetViews>
    <sheetView showGridLines="0" tabSelected="1" zoomScale="70" workbookViewId="0">
      <selection activeCell="M40" sqref="M40"/>
    </sheetView>
  </sheetViews>
  <sheetFormatPr defaultRowHeight="14.4" x14ac:dyDescent="0.3"/>
  <cols>
    <col min="1" max="1" width="17" bestFit="1" customWidth="1"/>
    <col min="2" max="2" width="8.88671875" bestFit="1" customWidth="1"/>
    <col min="3" max="3" width="18.44140625" bestFit="1" customWidth="1"/>
    <col min="4" max="20" width="11" bestFit="1" customWidth="1"/>
    <col min="21" max="21" width="11.109375" bestFit="1" customWidth="1"/>
  </cols>
  <sheetData>
    <row r="1" spans="1:14" ht="31.2" x14ac:dyDescent="0.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3"/>
      <c r="B5" s="3"/>
      <c r="C5" s="3"/>
      <c r="D5" s="3"/>
      <c r="E5" s="3"/>
      <c r="F5" s="3"/>
      <c r="G5" s="3"/>
      <c r="H5" s="3"/>
      <c r="I5" s="4"/>
      <c r="J5" s="3"/>
      <c r="K5" s="3"/>
      <c r="L5" s="3"/>
      <c r="M5" s="3"/>
      <c r="N5" s="3"/>
    </row>
    <row r="6" spans="1:1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0F52-0157-4E96-82BE-90DC66CFAF83}">
  <dimension ref="A3:C24"/>
  <sheetViews>
    <sheetView workbookViewId="0">
      <selection activeCell="L9" sqref="L9"/>
    </sheetView>
  </sheetViews>
  <sheetFormatPr defaultRowHeight="14.4" x14ac:dyDescent="0.3"/>
  <cols>
    <col min="1" max="1" width="13.6640625" bestFit="1" customWidth="1"/>
    <col min="2" max="40" width="12.33203125" bestFit="1" customWidth="1"/>
    <col min="41" max="42" width="17" bestFit="1" customWidth="1"/>
  </cols>
  <sheetData>
    <row r="3" spans="1:3" x14ac:dyDescent="0.3">
      <c r="A3" s="2" t="s">
        <v>1</v>
      </c>
      <c r="B3" t="s">
        <v>2</v>
      </c>
      <c r="C3" t="s">
        <v>3</v>
      </c>
    </row>
    <row r="4" spans="1:3" x14ac:dyDescent="0.3">
      <c r="A4" s="1">
        <v>46027</v>
      </c>
      <c r="B4">
        <v>120000</v>
      </c>
      <c r="C4">
        <v>20000</v>
      </c>
    </row>
    <row r="5" spans="1:3" x14ac:dyDescent="0.3">
      <c r="A5" s="1">
        <v>46030</v>
      </c>
      <c r="B5">
        <v>25000</v>
      </c>
      <c r="C5">
        <v>7000</v>
      </c>
    </row>
    <row r="6" spans="1:3" x14ac:dyDescent="0.3">
      <c r="A6" s="1">
        <v>46032</v>
      </c>
      <c r="B6">
        <v>45000</v>
      </c>
      <c r="C6">
        <v>9000</v>
      </c>
    </row>
    <row r="7" spans="1:3" x14ac:dyDescent="0.3">
      <c r="A7" s="1">
        <v>46034</v>
      </c>
      <c r="B7">
        <v>15000</v>
      </c>
      <c r="C7">
        <v>5000</v>
      </c>
    </row>
    <row r="8" spans="1:3" x14ac:dyDescent="0.3">
      <c r="A8" s="1">
        <v>46037</v>
      </c>
      <c r="B8">
        <v>20000</v>
      </c>
      <c r="C8">
        <v>5000</v>
      </c>
    </row>
    <row r="9" spans="1:3" x14ac:dyDescent="0.3">
      <c r="A9" s="1">
        <v>46040</v>
      </c>
      <c r="B9">
        <v>60000</v>
      </c>
      <c r="C9">
        <v>12000</v>
      </c>
    </row>
    <row r="10" spans="1:3" x14ac:dyDescent="0.3">
      <c r="A10" s="1">
        <v>46042</v>
      </c>
      <c r="B10">
        <v>12000</v>
      </c>
      <c r="C10">
        <v>4000</v>
      </c>
    </row>
    <row r="11" spans="1:3" x14ac:dyDescent="0.3">
      <c r="A11" s="1">
        <v>46044</v>
      </c>
      <c r="B11">
        <v>18000</v>
      </c>
      <c r="C11">
        <v>5000</v>
      </c>
    </row>
    <row r="12" spans="1:3" x14ac:dyDescent="0.3">
      <c r="A12" s="1">
        <v>46047</v>
      </c>
      <c r="B12">
        <v>32000</v>
      </c>
      <c r="C12">
        <v>8000</v>
      </c>
    </row>
    <row r="13" spans="1:3" x14ac:dyDescent="0.3">
      <c r="A13" s="1">
        <v>46050</v>
      </c>
      <c r="B13">
        <v>18000</v>
      </c>
      <c r="C13">
        <v>6000</v>
      </c>
    </row>
    <row r="14" spans="1:3" x14ac:dyDescent="0.3">
      <c r="A14" s="1">
        <v>46055</v>
      </c>
      <c r="B14">
        <v>50000</v>
      </c>
      <c r="C14">
        <v>8000</v>
      </c>
    </row>
    <row r="15" spans="1:3" x14ac:dyDescent="0.3">
      <c r="A15" s="1">
        <v>46057</v>
      </c>
      <c r="B15">
        <v>22500</v>
      </c>
      <c r="C15">
        <v>7500</v>
      </c>
    </row>
    <row r="16" spans="1:3" x14ac:dyDescent="0.3">
      <c r="A16" s="1">
        <v>46060</v>
      </c>
      <c r="B16">
        <v>21000</v>
      </c>
      <c r="C16">
        <v>5000</v>
      </c>
    </row>
    <row r="17" spans="1:3" x14ac:dyDescent="0.3">
      <c r="A17" s="1">
        <v>46063</v>
      </c>
      <c r="B17">
        <v>35000</v>
      </c>
      <c r="C17">
        <v>7000</v>
      </c>
    </row>
    <row r="18" spans="1:3" x14ac:dyDescent="0.3">
      <c r="A18" s="1">
        <v>46065</v>
      </c>
      <c r="B18">
        <v>40000</v>
      </c>
      <c r="C18">
        <v>8000</v>
      </c>
    </row>
    <row r="19" spans="1:3" x14ac:dyDescent="0.3">
      <c r="A19" s="1">
        <v>46068</v>
      </c>
      <c r="B19">
        <v>13500</v>
      </c>
      <c r="C19">
        <v>4500</v>
      </c>
    </row>
    <row r="20" spans="1:3" x14ac:dyDescent="0.3">
      <c r="A20" s="1">
        <v>46071</v>
      </c>
      <c r="B20">
        <v>45000</v>
      </c>
      <c r="C20">
        <v>7000</v>
      </c>
    </row>
    <row r="21" spans="1:3" x14ac:dyDescent="0.3">
      <c r="A21" s="1">
        <v>46073</v>
      </c>
      <c r="B21">
        <v>15000</v>
      </c>
      <c r="C21">
        <v>5000</v>
      </c>
    </row>
    <row r="22" spans="1:3" x14ac:dyDescent="0.3">
      <c r="A22" s="1">
        <v>46076</v>
      </c>
      <c r="B22">
        <v>10000</v>
      </c>
      <c r="C22">
        <v>3000</v>
      </c>
    </row>
    <row r="23" spans="1:3" x14ac:dyDescent="0.3">
      <c r="A23" s="1">
        <v>46079</v>
      </c>
      <c r="B23">
        <v>21000</v>
      </c>
      <c r="C23">
        <v>5000</v>
      </c>
    </row>
    <row r="24" spans="1:3" x14ac:dyDescent="0.3">
      <c r="A24" s="1" t="s">
        <v>4</v>
      </c>
      <c r="B24">
        <v>638000</v>
      </c>
      <c r="C24">
        <v>141000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4046-90E1-46C0-9D38-E4E003E1701C}">
  <dimension ref="A3:B6"/>
  <sheetViews>
    <sheetView zoomScaleNormal="100" workbookViewId="0">
      <selection activeCell="M8" sqref="M8"/>
    </sheetView>
  </sheetViews>
  <sheetFormatPr defaultRowHeight="14.4" x14ac:dyDescent="0.3"/>
  <cols>
    <col min="1" max="1" width="11.109375" bestFit="1" customWidth="1"/>
  </cols>
  <sheetData>
    <row r="3" spans="1:2" x14ac:dyDescent="0.3">
      <c r="A3" s="2" t="s">
        <v>5</v>
      </c>
      <c r="B3" t="s">
        <v>6</v>
      </c>
    </row>
    <row r="4" spans="1:2" x14ac:dyDescent="0.3">
      <c r="A4" t="s">
        <v>7</v>
      </c>
      <c r="B4">
        <v>11</v>
      </c>
    </row>
    <row r="5" spans="1:2" x14ac:dyDescent="0.3">
      <c r="A5" t="s">
        <v>8</v>
      </c>
      <c r="B5">
        <v>9</v>
      </c>
    </row>
    <row r="6" spans="1:2" x14ac:dyDescent="0.3">
      <c r="A6" t="s">
        <v>4</v>
      </c>
      <c r="B6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62C1-CA92-4A65-993C-6479550A7BC5}">
  <dimension ref="A3:B8"/>
  <sheetViews>
    <sheetView workbookViewId="0">
      <selection activeCell="O9" sqref="O9"/>
    </sheetView>
  </sheetViews>
  <sheetFormatPr defaultRowHeight="14.4" x14ac:dyDescent="0.3"/>
  <cols>
    <col min="1" max="1" width="11.109375" bestFit="1" customWidth="1"/>
    <col min="2" max="2" width="12.33203125" bestFit="1" customWidth="1"/>
  </cols>
  <sheetData>
    <row r="3" spans="1:2" x14ac:dyDescent="0.3">
      <c r="A3" s="2" t="s">
        <v>9</v>
      </c>
      <c r="B3" t="s">
        <v>2</v>
      </c>
    </row>
    <row r="4" spans="1:2" x14ac:dyDescent="0.3">
      <c r="A4" t="s">
        <v>10</v>
      </c>
      <c r="B4">
        <v>157000</v>
      </c>
    </row>
    <row r="5" spans="1:2" x14ac:dyDescent="0.3">
      <c r="A5" t="s">
        <v>11</v>
      </c>
      <c r="B5">
        <v>238000</v>
      </c>
    </row>
    <row r="6" spans="1:2" x14ac:dyDescent="0.3">
      <c r="A6" t="s">
        <v>12</v>
      </c>
      <c r="B6">
        <v>153000</v>
      </c>
    </row>
    <row r="7" spans="1:2" x14ac:dyDescent="0.3">
      <c r="A7" t="s">
        <v>13</v>
      </c>
      <c r="B7">
        <v>90000</v>
      </c>
    </row>
    <row r="8" spans="1:2" x14ac:dyDescent="0.3">
      <c r="A8" t="s">
        <v>4</v>
      </c>
      <c r="B8">
        <v>638000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6E5-108C-438E-817A-73EF92D44C50}">
  <dimension ref="A3:B7"/>
  <sheetViews>
    <sheetView workbookViewId="0">
      <selection activeCell="N16" sqref="N16"/>
    </sheetView>
  </sheetViews>
  <sheetFormatPr defaultRowHeight="14.4" x14ac:dyDescent="0.3"/>
  <cols>
    <col min="1" max="1" width="19.33203125" bestFit="1" customWidth="1"/>
    <col min="2" max="2" width="12.33203125" bestFit="1" customWidth="1"/>
  </cols>
  <sheetData>
    <row r="3" spans="1:2" x14ac:dyDescent="0.3">
      <c r="A3" s="2" t="s">
        <v>14</v>
      </c>
      <c r="B3" t="s">
        <v>3</v>
      </c>
    </row>
    <row r="4" spans="1:2" x14ac:dyDescent="0.3">
      <c r="A4" t="s">
        <v>15</v>
      </c>
      <c r="B4">
        <v>27500</v>
      </c>
    </row>
    <row r="5" spans="1:2" x14ac:dyDescent="0.3">
      <c r="A5" t="s">
        <v>16</v>
      </c>
      <c r="B5">
        <v>69500</v>
      </c>
    </row>
    <row r="6" spans="1:2" x14ac:dyDescent="0.3">
      <c r="A6" t="s">
        <v>17</v>
      </c>
      <c r="B6">
        <v>44000</v>
      </c>
    </row>
    <row r="7" spans="1:2" x14ac:dyDescent="0.3">
      <c r="A7" t="s">
        <v>4</v>
      </c>
      <c r="B7">
        <v>141000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2733-F57C-47B1-89A0-B8A50F7F843B}">
  <dimension ref="A3:B24"/>
  <sheetViews>
    <sheetView workbookViewId="0">
      <selection activeCell="O4" sqref="O4"/>
    </sheetView>
  </sheetViews>
  <sheetFormatPr defaultRowHeight="14.4" x14ac:dyDescent="0.3"/>
  <cols>
    <col min="1" max="1" width="16.6640625" bestFit="1" customWidth="1"/>
    <col min="2" max="2" width="12.33203125" bestFit="1" customWidth="1"/>
  </cols>
  <sheetData>
    <row r="3" spans="1:2" x14ac:dyDescent="0.3">
      <c r="A3" s="2" t="s">
        <v>18</v>
      </c>
      <c r="B3" t="s">
        <v>2</v>
      </c>
    </row>
    <row r="4" spans="1:2" x14ac:dyDescent="0.3">
      <c r="A4" t="s">
        <v>19</v>
      </c>
      <c r="B4">
        <v>18000</v>
      </c>
    </row>
    <row r="5" spans="1:2" x14ac:dyDescent="0.3">
      <c r="A5" t="s">
        <v>20</v>
      </c>
      <c r="B5">
        <v>10000</v>
      </c>
    </row>
    <row r="6" spans="1:2" x14ac:dyDescent="0.3">
      <c r="A6" t="s">
        <v>21</v>
      </c>
      <c r="B6">
        <v>21000</v>
      </c>
    </row>
    <row r="7" spans="1:2" x14ac:dyDescent="0.3">
      <c r="A7" t="s">
        <v>22</v>
      </c>
      <c r="B7">
        <v>35000</v>
      </c>
    </row>
    <row r="8" spans="1:2" x14ac:dyDescent="0.3">
      <c r="A8" t="s">
        <v>23</v>
      </c>
      <c r="B8">
        <v>22500</v>
      </c>
    </row>
    <row r="9" spans="1:2" x14ac:dyDescent="0.3">
      <c r="A9" t="s">
        <v>24</v>
      </c>
      <c r="B9">
        <v>15000</v>
      </c>
    </row>
    <row r="10" spans="1:2" x14ac:dyDescent="0.3">
      <c r="A10" t="s">
        <v>25</v>
      </c>
      <c r="B10">
        <v>18000</v>
      </c>
    </row>
    <row r="11" spans="1:2" x14ac:dyDescent="0.3">
      <c r="A11" t="s">
        <v>26</v>
      </c>
      <c r="B11">
        <v>15000</v>
      </c>
    </row>
    <row r="12" spans="1:2" x14ac:dyDescent="0.3">
      <c r="A12" t="s">
        <v>27</v>
      </c>
      <c r="B12">
        <v>120000</v>
      </c>
    </row>
    <row r="13" spans="1:2" x14ac:dyDescent="0.3">
      <c r="A13" t="s">
        <v>28</v>
      </c>
      <c r="B13">
        <v>40000</v>
      </c>
    </row>
    <row r="14" spans="1:2" x14ac:dyDescent="0.3">
      <c r="A14" t="s">
        <v>29</v>
      </c>
      <c r="B14">
        <v>25000</v>
      </c>
    </row>
    <row r="15" spans="1:2" x14ac:dyDescent="0.3">
      <c r="A15" t="s">
        <v>30</v>
      </c>
      <c r="B15">
        <v>21000</v>
      </c>
    </row>
    <row r="16" spans="1:2" x14ac:dyDescent="0.3">
      <c r="A16" t="s">
        <v>31</v>
      </c>
      <c r="B16">
        <v>32000</v>
      </c>
    </row>
    <row r="17" spans="1:2" x14ac:dyDescent="0.3">
      <c r="A17" t="s">
        <v>32</v>
      </c>
      <c r="B17">
        <v>45000</v>
      </c>
    </row>
    <row r="18" spans="1:2" x14ac:dyDescent="0.3">
      <c r="A18" t="s">
        <v>33</v>
      </c>
      <c r="B18">
        <v>50000</v>
      </c>
    </row>
    <row r="19" spans="1:2" x14ac:dyDescent="0.3">
      <c r="A19" t="s">
        <v>34</v>
      </c>
      <c r="B19">
        <v>20000</v>
      </c>
    </row>
    <row r="20" spans="1:2" x14ac:dyDescent="0.3">
      <c r="A20" t="s">
        <v>35</v>
      </c>
      <c r="B20">
        <v>13500</v>
      </c>
    </row>
    <row r="21" spans="1:2" x14ac:dyDescent="0.3">
      <c r="A21" t="s">
        <v>36</v>
      </c>
      <c r="B21">
        <v>60000</v>
      </c>
    </row>
    <row r="22" spans="1:2" x14ac:dyDescent="0.3">
      <c r="A22" t="s">
        <v>37</v>
      </c>
      <c r="B22">
        <v>12000</v>
      </c>
    </row>
    <row r="23" spans="1:2" x14ac:dyDescent="0.3">
      <c r="A23" t="s">
        <v>38</v>
      </c>
      <c r="B23">
        <v>45000</v>
      </c>
    </row>
    <row r="24" spans="1:2" x14ac:dyDescent="0.3">
      <c r="A24" t="s">
        <v>4</v>
      </c>
      <c r="B24">
        <v>638000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E8AC-A760-45AC-8123-6F8491615BF3}">
  <dimension ref="A1:O21"/>
  <sheetViews>
    <sheetView workbookViewId="0">
      <selection activeCell="B8" sqref="A1:O21"/>
    </sheetView>
  </sheetViews>
  <sheetFormatPr defaultRowHeight="14.4" x14ac:dyDescent="0.3"/>
  <cols>
    <col min="2" max="2" width="10.88671875" bestFit="1" customWidth="1"/>
    <col min="6" max="6" width="17.5546875" customWidth="1"/>
    <col min="7" max="7" width="13.109375" customWidth="1"/>
    <col min="12" max="12" width="10.109375" bestFit="1" customWidth="1"/>
    <col min="13" max="13" width="9.44140625" bestFit="1" customWidth="1"/>
    <col min="14" max="14" width="10" bestFit="1" customWidth="1"/>
    <col min="15" max="15" width="11.33203125" bestFit="1" customWidth="1"/>
  </cols>
  <sheetData>
    <row r="1" spans="1:15" x14ac:dyDescent="0.3">
      <c r="A1" t="s">
        <v>39</v>
      </c>
      <c r="B1" t="s">
        <v>1</v>
      </c>
      <c r="C1" t="s">
        <v>40</v>
      </c>
      <c r="D1" t="s">
        <v>5</v>
      </c>
      <c r="E1" t="s">
        <v>9</v>
      </c>
      <c r="F1" t="s">
        <v>14</v>
      </c>
      <c r="G1" t="s">
        <v>18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3">
      <c r="A2">
        <v>1001</v>
      </c>
      <c r="B2" s="1">
        <v>46027</v>
      </c>
      <c r="C2" t="s">
        <v>49</v>
      </c>
      <c r="D2" t="s">
        <v>8</v>
      </c>
      <c r="E2" t="s">
        <v>11</v>
      </c>
      <c r="F2" t="s">
        <v>16</v>
      </c>
      <c r="G2" t="s">
        <v>27</v>
      </c>
      <c r="H2">
        <v>2</v>
      </c>
      <c r="I2">
        <v>120000</v>
      </c>
      <c r="J2">
        <v>100000</v>
      </c>
      <c r="K2">
        <v>20000</v>
      </c>
      <c r="L2">
        <f>SUM(I2:I21)</f>
        <v>638000</v>
      </c>
      <c r="M2">
        <f>SUM(J2:J21)</f>
        <v>497000</v>
      </c>
      <c r="N2">
        <f>SUM(K2:K21)</f>
        <v>141000</v>
      </c>
      <c r="O2">
        <f>COUNTA(A2:A21)</f>
        <v>20</v>
      </c>
    </row>
    <row r="3" spans="1:15" x14ac:dyDescent="0.3">
      <c r="A3">
        <v>1002</v>
      </c>
      <c r="B3" s="1">
        <v>46030</v>
      </c>
      <c r="C3" t="s">
        <v>50</v>
      </c>
      <c r="D3" t="s">
        <v>7</v>
      </c>
      <c r="E3" t="s">
        <v>12</v>
      </c>
      <c r="F3" t="s">
        <v>17</v>
      </c>
      <c r="G3" t="s">
        <v>29</v>
      </c>
      <c r="H3">
        <v>5</v>
      </c>
      <c r="I3">
        <v>25000</v>
      </c>
      <c r="J3">
        <v>18000</v>
      </c>
      <c r="K3">
        <v>7000</v>
      </c>
    </row>
    <row r="4" spans="1:15" x14ac:dyDescent="0.3">
      <c r="A4">
        <v>1003</v>
      </c>
      <c r="B4" s="1">
        <v>46032</v>
      </c>
      <c r="C4" t="s">
        <v>51</v>
      </c>
      <c r="D4" t="s">
        <v>8</v>
      </c>
      <c r="E4" t="s">
        <v>10</v>
      </c>
      <c r="F4" t="s">
        <v>16</v>
      </c>
      <c r="G4" t="s">
        <v>32</v>
      </c>
      <c r="H4">
        <v>3</v>
      </c>
      <c r="I4">
        <v>45000</v>
      </c>
      <c r="J4">
        <v>36000</v>
      </c>
      <c r="K4">
        <v>9000</v>
      </c>
    </row>
    <row r="5" spans="1:15" x14ac:dyDescent="0.3">
      <c r="A5">
        <v>1004</v>
      </c>
      <c r="B5" s="1">
        <v>46034</v>
      </c>
      <c r="C5" t="s">
        <v>52</v>
      </c>
      <c r="D5" t="s">
        <v>7</v>
      </c>
      <c r="E5" t="s">
        <v>13</v>
      </c>
      <c r="F5" t="s">
        <v>15</v>
      </c>
      <c r="G5" t="s">
        <v>24</v>
      </c>
      <c r="H5">
        <v>10</v>
      </c>
      <c r="I5">
        <v>15000</v>
      </c>
      <c r="J5">
        <v>10000</v>
      </c>
      <c r="K5">
        <v>5000</v>
      </c>
    </row>
    <row r="6" spans="1:15" x14ac:dyDescent="0.3">
      <c r="A6">
        <v>1005</v>
      </c>
      <c r="B6" s="1">
        <v>46037</v>
      </c>
      <c r="C6" t="s">
        <v>53</v>
      </c>
      <c r="D6" t="s">
        <v>7</v>
      </c>
      <c r="E6" t="s">
        <v>11</v>
      </c>
      <c r="F6" t="s">
        <v>17</v>
      </c>
      <c r="G6" t="s">
        <v>34</v>
      </c>
      <c r="H6">
        <v>4</v>
      </c>
      <c r="I6">
        <v>20000</v>
      </c>
      <c r="J6">
        <v>15000</v>
      </c>
      <c r="K6">
        <v>5000</v>
      </c>
    </row>
    <row r="7" spans="1:15" x14ac:dyDescent="0.3">
      <c r="A7">
        <v>1006</v>
      </c>
      <c r="B7" s="1">
        <v>46040</v>
      </c>
      <c r="C7" t="s">
        <v>54</v>
      </c>
      <c r="D7" t="s">
        <v>8</v>
      </c>
      <c r="E7" t="s">
        <v>12</v>
      </c>
      <c r="F7" t="s">
        <v>16</v>
      </c>
      <c r="G7" t="s">
        <v>36</v>
      </c>
      <c r="H7">
        <v>6</v>
      </c>
      <c r="I7">
        <v>60000</v>
      </c>
      <c r="J7">
        <v>48000</v>
      </c>
      <c r="K7">
        <v>12000</v>
      </c>
    </row>
    <row r="8" spans="1:15" x14ac:dyDescent="0.3">
      <c r="A8">
        <v>1007</v>
      </c>
      <c r="B8" s="1">
        <v>46042</v>
      </c>
      <c r="C8" t="s">
        <v>55</v>
      </c>
      <c r="D8" t="s">
        <v>7</v>
      </c>
      <c r="E8" t="s">
        <v>10</v>
      </c>
      <c r="F8" t="s">
        <v>15</v>
      </c>
      <c r="G8" t="s">
        <v>37</v>
      </c>
      <c r="H8">
        <v>20</v>
      </c>
      <c r="I8">
        <v>12000</v>
      </c>
      <c r="J8">
        <v>8000</v>
      </c>
      <c r="K8">
        <v>4000</v>
      </c>
    </row>
    <row r="9" spans="1:15" x14ac:dyDescent="0.3">
      <c r="A9">
        <v>1008</v>
      </c>
      <c r="B9" s="1">
        <v>46044</v>
      </c>
      <c r="C9" t="s">
        <v>56</v>
      </c>
      <c r="D9" t="s">
        <v>7</v>
      </c>
      <c r="E9" t="s">
        <v>13</v>
      </c>
      <c r="F9" t="s">
        <v>17</v>
      </c>
      <c r="G9" t="s">
        <v>19</v>
      </c>
      <c r="H9">
        <v>3</v>
      </c>
      <c r="I9">
        <v>18000</v>
      </c>
      <c r="J9">
        <v>13000</v>
      </c>
      <c r="K9">
        <v>5000</v>
      </c>
    </row>
    <row r="10" spans="1:15" x14ac:dyDescent="0.3">
      <c r="A10">
        <v>1009</v>
      </c>
      <c r="B10" s="1">
        <v>46047</v>
      </c>
      <c r="C10" t="s">
        <v>57</v>
      </c>
      <c r="D10" t="s">
        <v>8</v>
      </c>
      <c r="E10" t="s">
        <v>11</v>
      </c>
      <c r="F10" t="s">
        <v>16</v>
      </c>
      <c r="G10" t="s">
        <v>31</v>
      </c>
      <c r="H10">
        <v>8</v>
      </c>
      <c r="I10">
        <v>32000</v>
      </c>
      <c r="J10">
        <v>24000</v>
      </c>
      <c r="K10">
        <v>8000</v>
      </c>
    </row>
    <row r="11" spans="1:15" x14ac:dyDescent="0.3">
      <c r="A11">
        <v>1010</v>
      </c>
      <c r="B11" s="1">
        <v>46050</v>
      </c>
      <c r="C11" t="s">
        <v>58</v>
      </c>
      <c r="D11" t="s">
        <v>8</v>
      </c>
      <c r="E11" t="s">
        <v>12</v>
      </c>
      <c r="F11" t="s">
        <v>15</v>
      </c>
      <c r="G11" t="s">
        <v>25</v>
      </c>
      <c r="H11">
        <v>12</v>
      </c>
      <c r="I11">
        <v>18000</v>
      </c>
      <c r="J11">
        <v>12000</v>
      </c>
      <c r="K11">
        <v>6000</v>
      </c>
    </row>
    <row r="12" spans="1:15" x14ac:dyDescent="0.3">
      <c r="A12">
        <v>1011</v>
      </c>
      <c r="B12" s="1">
        <v>46055</v>
      </c>
      <c r="C12" t="s">
        <v>59</v>
      </c>
      <c r="D12" t="s">
        <v>8</v>
      </c>
      <c r="E12" t="s">
        <v>10</v>
      </c>
      <c r="F12" t="s">
        <v>17</v>
      </c>
      <c r="G12" t="s">
        <v>33</v>
      </c>
      <c r="H12">
        <v>2</v>
      </c>
      <c r="I12">
        <v>50000</v>
      </c>
      <c r="J12">
        <v>42000</v>
      </c>
      <c r="K12">
        <v>8000</v>
      </c>
    </row>
    <row r="13" spans="1:15" x14ac:dyDescent="0.3">
      <c r="A13">
        <v>1012</v>
      </c>
      <c r="B13" s="1">
        <v>46057</v>
      </c>
      <c r="C13" t="s">
        <v>60</v>
      </c>
      <c r="D13" t="s">
        <v>7</v>
      </c>
      <c r="E13" t="s">
        <v>13</v>
      </c>
      <c r="F13" t="s">
        <v>16</v>
      </c>
      <c r="G13" t="s">
        <v>23</v>
      </c>
      <c r="H13">
        <v>15</v>
      </c>
      <c r="I13">
        <v>22500</v>
      </c>
      <c r="J13">
        <v>15000</v>
      </c>
      <c r="K13">
        <v>7500</v>
      </c>
    </row>
    <row r="14" spans="1:15" x14ac:dyDescent="0.3">
      <c r="A14">
        <v>1013</v>
      </c>
      <c r="B14" s="1">
        <v>46060</v>
      </c>
      <c r="C14" t="s">
        <v>61</v>
      </c>
      <c r="D14" t="s">
        <v>7</v>
      </c>
      <c r="E14" t="s">
        <v>11</v>
      </c>
      <c r="F14" t="s">
        <v>15</v>
      </c>
      <c r="G14" t="s">
        <v>30</v>
      </c>
      <c r="H14">
        <v>7</v>
      </c>
      <c r="I14">
        <v>21000</v>
      </c>
      <c r="J14">
        <v>16000</v>
      </c>
      <c r="K14">
        <v>5000</v>
      </c>
    </row>
    <row r="15" spans="1:15" x14ac:dyDescent="0.3">
      <c r="A15">
        <v>1014</v>
      </c>
      <c r="B15" s="1">
        <v>46063</v>
      </c>
      <c r="C15" t="s">
        <v>62</v>
      </c>
      <c r="D15" t="s">
        <v>7</v>
      </c>
      <c r="E15" t="s">
        <v>12</v>
      </c>
      <c r="F15" t="s">
        <v>17</v>
      </c>
      <c r="G15" t="s">
        <v>22</v>
      </c>
      <c r="H15">
        <v>1</v>
      </c>
      <c r="I15">
        <v>35000</v>
      </c>
      <c r="J15">
        <v>28000</v>
      </c>
      <c r="K15">
        <v>7000</v>
      </c>
    </row>
    <row r="16" spans="1:15" x14ac:dyDescent="0.3">
      <c r="A16">
        <v>1015</v>
      </c>
      <c r="B16" s="1">
        <v>46065</v>
      </c>
      <c r="C16" t="s">
        <v>63</v>
      </c>
      <c r="D16" t="s">
        <v>8</v>
      </c>
      <c r="E16" t="s">
        <v>10</v>
      </c>
      <c r="F16" t="s">
        <v>16</v>
      </c>
      <c r="G16" t="s">
        <v>28</v>
      </c>
      <c r="H16">
        <v>4</v>
      </c>
      <c r="I16">
        <v>40000</v>
      </c>
      <c r="J16">
        <v>32000</v>
      </c>
      <c r="K16">
        <v>8000</v>
      </c>
    </row>
    <row r="17" spans="1:11" x14ac:dyDescent="0.3">
      <c r="A17">
        <v>1016</v>
      </c>
      <c r="B17" s="1">
        <v>46068</v>
      </c>
      <c r="C17" t="s">
        <v>64</v>
      </c>
      <c r="D17" t="s">
        <v>8</v>
      </c>
      <c r="E17" t="s">
        <v>13</v>
      </c>
      <c r="F17" t="s">
        <v>15</v>
      </c>
      <c r="G17" t="s">
        <v>35</v>
      </c>
      <c r="H17">
        <v>9</v>
      </c>
      <c r="I17">
        <v>13500</v>
      </c>
      <c r="J17">
        <v>9000</v>
      </c>
      <c r="K17">
        <v>4500</v>
      </c>
    </row>
    <row r="18" spans="1:11" x14ac:dyDescent="0.3">
      <c r="A18">
        <v>1017</v>
      </c>
      <c r="B18" s="1">
        <v>46071</v>
      </c>
      <c r="C18" t="s">
        <v>65</v>
      </c>
      <c r="D18" t="s">
        <v>8</v>
      </c>
      <c r="E18" t="s">
        <v>11</v>
      </c>
      <c r="F18" t="s">
        <v>17</v>
      </c>
      <c r="G18" t="s">
        <v>38</v>
      </c>
      <c r="H18">
        <v>2</v>
      </c>
      <c r="I18">
        <v>45000</v>
      </c>
      <c r="J18">
        <v>38000</v>
      </c>
      <c r="K18">
        <v>7000</v>
      </c>
    </row>
    <row r="19" spans="1:11" x14ac:dyDescent="0.3">
      <c r="A19">
        <v>1018</v>
      </c>
      <c r="B19" s="1">
        <v>46073</v>
      </c>
      <c r="C19" t="s">
        <v>66</v>
      </c>
      <c r="D19" t="s">
        <v>7</v>
      </c>
      <c r="E19" t="s">
        <v>12</v>
      </c>
      <c r="F19" t="s">
        <v>16</v>
      </c>
      <c r="G19" t="s">
        <v>26</v>
      </c>
      <c r="H19">
        <v>10</v>
      </c>
      <c r="I19">
        <v>15000</v>
      </c>
      <c r="J19">
        <v>10000</v>
      </c>
      <c r="K19">
        <v>5000</v>
      </c>
    </row>
    <row r="20" spans="1:11" x14ac:dyDescent="0.3">
      <c r="A20">
        <v>1019</v>
      </c>
      <c r="B20" s="1">
        <v>46076</v>
      </c>
      <c r="C20" t="s">
        <v>67</v>
      </c>
      <c r="D20" t="s">
        <v>7</v>
      </c>
      <c r="E20" t="s">
        <v>10</v>
      </c>
      <c r="F20" t="s">
        <v>15</v>
      </c>
      <c r="G20" t="s">
        <v>20</v>
      </c>
      <c r="H20">
        <v>25</v>
      </c>
      <c r="I20">
        <v>10000</v>
      </c>
      <c r="J20">
        <v>7000</v>
      </c>
      <c r="K20">
        <v>3000</v>
      </c>
    </row>
    <row r="21" spans="1:11" x14ac:dyDescent="0.3">
      <c r="A21">
        <v>1020</v>
      </c>
      <c r="B21" s="1">
        <v>46079</v>
      </c>
      <c r="C21" t="s">
        <v>68</v>
      </c>
      <c r="D21" t="s">
        <v>7</v>
      </c>
      <c r="E21" t="s">
        <v>13</v>
      </c>
      <c r="F21" t="s">
        <v>17</v>
      </c>
      <c r="G21" t="s">
        <v>21</v>
      </c>
      <c r="H21">
        <v>3</v>
      </c>
      <c r="I21">
        <v>21000</v>
      </c>
      <c r="J21">
        <v>16000</v>
      </c>
      <c r="K21">
        <v>5000</v>
      </c>
    </row>
  </sheetData>
  <autoFilter ref="P5" xr:uid="{08ADE8AC-A760-45AC-8123-6F8491615BF3}"/>
  <conditionalFormatting sqref="K2:K21">
    <cfRule type="cellIs" dxfId="1" priority="1" operator="lessThanOrEqual">
      <formula>7000</formula>
    </cfRule>
    <cfRule type="cellIs" dxfId="0" priority="2" operator="greaterThan">
      <formula>7000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Monthly sale</vt:lpstr>
      <vt:lpstr>Customer gender</vt:lpstr>
      <vt:lpstr>Sales by reg</vt:lpstr>
      <vt:lpstr>Profit  by categ</vt:lpstr>
      <vt:lpstr>Top 10 pro</vt:lpstr>
      <vt:lpstr>DApro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M</dc:creator>
  <cp:keywords/>
  <dc:description/>
  <cp:lastModifiedBy>Monika M</cp:lastModifiedBy>
  <cp:revision/>
  <dcterms:created xsi:type="dcterms:W3CDTF">2026-06-12T09:28:54Z</dcterms:created>
  <dcterms:modified xsi:type="dcterms:W3CDTF">2026-06-13T04:44:31Z</dcterms:modified>
  <cp:category/>
  <cp:contentStatus/>
</cp:coreProperties>
</file>